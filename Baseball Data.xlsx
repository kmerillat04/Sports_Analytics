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ntingtonedu-my.sharepoint.com/personal/merillatk_huntington_edu/Documents/Documents/"/>
    </mc:Choice>
  </mc:AlternateContent>
  <xr:revisionPtr revIDLastSave="0" documentId="8_{4727D865-065A-4566-9431-022F14FF7415}" xr6:coauthVersionLast="47" xr6:coauthVersionMax="47" xr10:uidLastSave="{00000000-0000-0000-0000-000000000000}"/>
  <bookViews>
    <workbookView xWindow="-108" yWindow="-108" windowWidth="23256" windowHeight="12456" xr2:uid="{B1A6B2C7-A063-4416-BAC4-2D158EAD86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M30" i="1"/>
  <c r="E26" i="1"/>
  <c r="E40" i="1"/>
  <c r="E38" i="1"/>
  <c r="E37" i="1"/>
  <c r="E29" i="1"/>
  <c r="M14" i="1"/>
  <c r="H14" i="1"/>
  <c r="G14" i="1"/>
  <c r="M38" i="1"/>
  <c r="L38" i="1"/>
  <c r="H38" i="1"/>
  <c r="G38" i="1"/>
  <c r="M37" i="1"/>
  <c r="I37" i="1"/>
  <c r="H37" i="1"/>
  <c r="G37" i="1"/>
  <c r="M29" i="1"/>
  <c r="L29" i="1"/>
  <c r="I29" i="1"/>
  <c r="H29" i="1"/>
  <c r="G29" i="1"/>
  <c r="M26" i="1"/>
  <c r="L26" i="1"/>
  <c r="K26" i="1"/>
  <c r="I26" i="1"/>
  <c r="H26" i="1"/>
  <c r="G26" i="1"/>
</calcChain>
</file>

<file path=xl/sharedStrings.xml><?xml version="1.0" encoding="utf-8"?>
<sst xmlns="http://schemas.openxmlformats.org/spreadsheetml/2006/main" count="130" uniqueCount="127">
  <si>
    <t>IDNumber</t>
  </si>
  <si>
    <t>PlayerID</t>
  </si>
  <si>
    <t>FirstName</t>
  </si>
  <si>
    <t>LastName</t>
  </si>
  <si>
    <t>Elly</t>
  </si>
  <si>
    <t>De La Cruz</t>
  </si>
  <si>
    <t>delacel01</t>
  </si>
  <si>
    <t>Christian</t>
  </si>
  <si>
    <t>Encarnacion-Strand</t>
  </si>
  <si>
    <t>encarch01</t>
  </si>
  <si>
    <t>Santiago</t>
  </si>
  <si>
    <t>Espinal</t>
  </si>
  <si>
    <t>espinsa01</t>
  </si>
  <si>
    <t>Ke'Bryan</t>
  </si>
  <si>
    <t>Hayes</t>
  </si>
  <si>
    <t>hayeske01</t>
  </si>
  <si>
    <t>Noelvi</t>
  </si>
  <si>
    <t>Marte</t>
  </si>
  <si>
    <t>marteno01</t>
  </si>
  <si>
    <t>Matt</t>
  </si>
  <si>
    <t>McLain</t>
  </si>
  <si>
    <t>mclaima01</t>
  </si>
  <si>
    <t>Spencer</t>
  </si>
  <si>
    <t>Steer</t>
  </si>
  <si>
    <t>steersp01</t>
  </si>
  <si>
    <t>Sal</t>
  </si>
  <si>
    <t>Stewart</t>
  </si>
  <si>
    <t>Miguel</t>
  </si>
  <si>
    <t>Andujar</t>
  </si>
  <si>
    <t>andujmi01</t>
  </si>
  <si>
    <t>Will</t>
  </si>
  <si>
    <t>Benson</t>
  </si>
  <si>
    <t>bensowi01</t>
  </si>
  <si>
    <t>Blake</t>
  </si>
  <si>
    <t>Dunn</t>
  </si>
  <si>
    <t>dunnbl01</t>
  </si>
  <si>
    <t>TJ</t>
  </si>
  <si>
    <t>Friedl</t>
  </si>
  <si>
    <t>friedtj01</t>
  </si>
  <si>
    <t>Austin</t>
  </si>
  <si>
    <t>Hays</t>
  </si>
  <si>
    <t>haysau01</t>
  </si>
  <si>
    <t>Rece</t>
  </si>
  <si>
    <t>Hinds</t>
  </si>
  <si>
    <t>hindsre01</t>
  </si>
  <si>
    <t>Gavin</t>
  </si>
  <si>
    <t>Lux</t>
  </si>
  <si>
    <t>luxga01</t>
  </si>
  <si>
    <t>Ryan</t>
  </si>
  <si>
    <t>Vilade</t>
  </si>
  <si>
    <t>villadry01</t>
  </si>
  <si>
    <t>Banfield</t>
  </si>
  <si>
    <t>Tyler</t>
  </si>
  <si>
    <t>Stephenson</t>
  </si>
  <si>
    <t>stephty01</t>
  </si>
  <si>
    <t>Jose</t>
  </si>
  <si>
    <t>Trevino</t>
  </si>
  <si>
    <t>trevijo01</t>
  </si>
  <si>
    <t>Scale</t>
  </si>
  <si>
    <t>N/A</t>
  </si>
  <si>
    <t>Prediction</t>
  </si>
  <si>
    <t>yearID</t>
  </si>
  <si>
    <t>R</t>
  </si>
  <si>
    <t>X1B</t>
  </si>
  <si>
    <t>X2B</t>
  </si>
  <si>
    <t>X3B</t>
  </si>
  <si>
    <t>HR</t>
  </si>
  <si>
    <t>BB_HBP</t>
  </si>
  <si>
    <t>Outs</t>
  </si>
  <si>
    <t>Luke</t>
  </si>
  <si>
    <t>Maile</t>
  </si>
  <si>
    <t>Wynns</t>
  </si>
  <si>
    <t>Eric</t>
  </si>
  <si>
    <t>Yang</t>
  </si>
  <si>
    <t>Jemier</t>
  </si>
  <si>
    <t>Candelario</t>
  </si>
  <si>
    <t>Mike</t>
  </si>
  <si>
    <t>Ford</t>
  </si>
  <si>
    <t>Ty</t>
  </si>
  <si>
    <t>France</t>
  </si>
  <si>
    <t>Jonathan</t>
  </si>
  <si>
    <t>India</t>
  </si>
  <si>
    <t>Edwin</t>
  </si>
  <si>
    <t>Rios</t>
  </si>
  <si>
    <t>Dominic</t>
  </si>
  <si>
    <t>Smith</t>
  </si>
  <si>
    <t>Livan</t>
  </si>
  <si>
    <t>Soto</t>
  </si>
  <si>
    <t>Conner</t>
  </si>
  <si>
    <t>Capel</t>
  </si>
  <si>
    <t>Stuart</t>
  </si>
  <si>
    <t>Fairchild</t>
  </si>
  <si>
    <t>Jake</t>
  </si>
  <si>
    <t>Fraley</t>
  </si>
  <si>
    <t>Jacob</t>
  </si>
  <si>
    <t>Hurtubise</t>
  </si>
  <si>
    <t>Levi</t>
  </si>
  <si>
    <t>Jordan</t>
  </si>
  <si>
    <t>Nick</t>
  </si>
  <si>
    <t>Martini</t>
  </si>
  <si>
    <t>Amed</t>
  </si>
  <si>
    <t>Rosario</t>
  </si>
  <si>
    <t>Slater</t>
  </si>
  <si>
    <t>Bubba</t>
  </si>
  <si>
    <t>Thompson</t>
  </si>
  <si>
    <t>Joey</t>
  </si>
  <si>
    <t>Wiemer</t>
  </si>
  <si>
    <t>mailelu01</t>
  </si>
  <si>
    <t>wynnsau01</t>
  </si>
  <si>
    <t>yanger01</t>
  </si>
  <si>
    <t>candeje01</t>
  </si>
  <si>
    <t>fordmi01</t>
  </si>
  <si>
    <t>indiajo01</t>
  </si>
  <si>
    <t>riosed01</t>
  </si>
  <si>
    <t>sotoli01</t>
  </si>
  <si>
    <t>francty01</t>
  </si>
  <si>
    <t>smithdo02</t>
  </si>
  <si>
    <t>capelco01</t>
  </si>
  <si>
    <t>faircst01</t>
  </si>
  <si>
    <t>fraleja01</t>
  </si>
  <si>
    <t>hurtuja01</t>
  </si>
  <si>
    <t>jordale01</t>
  </si>
  <si>
    <t>martini02</t>
  </si>
  <si>
    <t>rosaram01</t>
  </si>
  <si>
    <t>slateau01</t>
  </si>
  <si>
    <t>thompbu01</t>
  </si>
  <si>
    <t>wiemejo01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</si>
</sst>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6" borderId="0" xfId="0" applyFill="1"/>
    <xf numFmtId="0" fontId="0" fillId="2" borderId="1" xfId="0" applyFill="1" applyBorder="1"/>
    <xf numFmtId="0" fontId="0" fillId="0" borderId="1" xfId="0" applyBorder="1"/>
    <xf numFmtId="0" fontId="0" fillId="4" borderId="3" xfId="0" applyFill="1" applyBorder="1"/>
    <xf numFmtId="0" fontId="0" fillId="5" borderId="3" xfId="0" applyFill="1" applyBorder="1"/>
    <xf numFmtId="0" fontId="0" fillId="3" borderId="3" xfId="0" applyFill="1" applyBorder="1"/>
    <xf numFmtId="0" fontId="0" fillId="0" borderId="3" xfId="0" applyBorder="1"/>
    <xf numFmtId="0" fontId="0" fillId="5" borderId="4" xfId="0" applyFill="1" applyBorder="1"/>
    <xf numFmtId="0" fontId="0" fillId="2" borderId="3" xfId="0" applyFill="1" applyBorder="1"/>
    <xf numFmtId="0" fontId="0" fillId="6" borderId="3" xfId="0" applyFill="1" applyBorder="1"/>
    <xf numFmtId="0" fontId="0" fillId="2" borderId="4" xfId="0" applyFill="1" applyBorder="1"/>
    <xf numFmtId="0" fontId="0" fillId="0" borderId="6" xfId="0" applyBorder="1"/>
    <xf numFmtId="0" fontId="0" fillId="2" borderId="6" xfId="0" applyFill="1" applyBorder="1" applyAlignment="1">
      <alignment horizontal="right"/>
    </xf>
    <xf numFmtId="0" fontId="0" fillId="6" borderId="6" xfId="0" applyFill="1" applyBorder="1"/>
    <xf numFmtId="0" fontId="0" fillId="2" borderId="6" xfId="0" applyFill="1" applyBorder="1"/>
    <xf numFmtId="164" fontId="0" fillId="2" borderId="6" xfId="0" applyNumberFormat="1" applyFill="1" applyBorder="1"/>
    <xf numFmtId="164" fontId="0" fillId="0" borderId="6" xfId="0" applyNumberFormat="1" applyBorder="1"/>
    <xf numFmtId="164" fontId="0" fillId="2" borderId="7" xfId="0" applyNumberFormat="1" applyFill="1" applyBorder="1"/>
    <xf numFmtId="0" fontId="0" fillId="0" borderId="7" xfId="0" applyBorder="1"/>
    <xf numFmtId="2" fontId="0" fillId="0" borderId="6" xfId="0" applyNumberFormat="1" applyBorder="1"/>
    <xf numFmtId="0" fontId="0" fillId="0" borderId="5" xfId="0" applyBorder="1"/>
    <xf numFmtId="0" fontId="0" fillId="0" borderId="8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AC9CE-BACE-4E3F-9D49-E9D4ADB774F6}">
  <dimension ref="A1:N40"/>
  <sheetViews>
    <sheetView tabSelected="1" zoomScaleNormal="100" workbookViewId="0">
      <selection activeCell="V2" sqref="V2"/>
    </sheetView>
  </sheetViews>
  <sheetFormatPr defaultRowHeight="14.4" x14ac:dyDescent="0.3"/>
  <cols>
    <col min="1" max="1" width="9.77734375" bestFit="1" customWidth="1"/>
    <col min="2" max="2" width="18" bestFit="1" customWidth="1"/>
    <col min="3" max="3" width="9.77734375" hidden="1" customWidth="1"/>
    <col min="4" max="4" width="11.109375" customWidth="1"/>
    <col min="5" max="5" width="10.44140625" bestFit="1" customWidth="1"/>
    <col min="6" max="6" width="0" hidden="1" customWidth="1"/>
    <col min="10" max="10" width="8.88671875" customWidth="1"/>
  </cols>
  <sheetData>
    <row r="1" spans="1:14" x14ac:dyDescent="0.3">
      <c r="A1" s="22" t="s">
        <v>2</v>
      </c>
      <c r="B1" s="22" t="s">
        <v>3</v>
      </c>
      <c r="C1" s="23" t="s">
        <v>0</v>
      </c>
      <c r="D1" s="22" t="s">
        <v>1</v>
      </c>
      <c r="E1" s="24" t="s">
        <v>58</v>
      </c>
      <c r="F1" s="23" t="s">
        <v>61</v>
      </c>
      <c r="G1" s="23" t="s">
        <v>62</v>
      </c>
      <c r="H1" s="24" t="s">
        <v>63</v>
      </c>
      <c r="I1" s="23" t="s">
        <v>64</v>
      </c>
      <c r="J1" s="24" t="s">
        <v>65</v>
      </c>
      <c r="K1" s="23" t="s">
        <v>66</v>
      </c>
      <c r="L1" s="24" t="s">
        <v>67</v>
      </c>
      <c r="M1" s="23" t="s">
        <v>68</v>
      </c>
      <c r="N1" s="24" t="s">
        <v>60</v>
      </c>
    </row>
    <row r="2" spans="1:14" x14ac:dyDescent="0.3">
      <c r="A2" s="5" t="s">
        <v>4</v>
      </c>
      <c r="B2" s="5" t="s">
        <v>5</v>
      </c>
      <c r="C2">
        <v>4559</v>
      </c>
      <c r="D2" s="8" t="s">
        <v>6</v>
      </c>
      <c r="E2" s="13">
        <v>0.88900000000000001</v>
      </c>
      <c r="F2">
        <v>2024</v>
      </c>
      <c r="G2">
        <v>105</v>
      </c>
      <c r="H2" s="13">
        <v>89</v>
      </c>
      <c r="I2">
        <v>36</v>
      </c>
      <c r="J2" s="13">
        <v>10</v>
      </c>
      <c r="K2">
        <v>25</v>
      </c>
      <c r="L2" s="13">
        <v>77</v>
      </c>
      <c r="M2">
        <v>477.87599999999998</v>
      </c>
      <c r="N2" s="13">
        <v>20.48</v>
      </c>
    </row>
    <row r="3" spans="1:14" x14ac:dyDescent="0.3">
      <c r="A3" s="5" t="s">
        <v>7</v>
      </c>
      <c r="B3" s="5" t="s">
        <v>8</v>
      </c>
      <c r="C3">
        <v>5540</v>
      </c>
      <c r="D3" s="8" t="s">
        <v>9</v>
      </c>
      <c r="E3" s="13">
        <v>0.97699999999999998</v>
      </c>
      <c r="F3">
        <v>2024</v>
      </c>
      <c r="G3">
        <v>13</v>
      </c>
      <c r="H3" s="13">
        <v>14</v>
      </c>
      <c r="I3">
        <v>6</v>
      </c>
      <c r="J3" s="13">
        <v>0</v>
      </c>
      <c r="K3">
        <v>2</v>
      </c>
      <c r="L3" s="13">
        <v>5</v>
      </c>
      <c r="M3">
        <v>97.912000000000006</v>
      </c>
      <c r="N3" s="13">
        <v>-5.95</v>
      </c>
    </row>
    <row r="4" spans="1:14" x14ac:dyDescent="0.3">
      <c r="A4" s="5" t="s">
        <v>10</v>
      </c>
      <c r="B4" s="5" t="s">
        <v>11</v>
      </c>
      <c r="C4">
        <v>5624</v>
      </c>
      <c r="D4" s="8" t="s">
        <v>12</v>
      </c>
      <c r="E4" s="13">
        <v>0.93500000000000005</v>
      </c>
      <c r="F4">
        <v>2024</v>
      </c>
      <c r="G4">
        <v>32</v>
      </c>
      <c r="H4" s="13">
        <v>67</v>
      </c>
      <c r="I4">
        <v>12</v>
      </c>
      <c r="J4" s="13">
        <v>0</v>
      </c>
      <c r="K4">
        <v>9</v>
      </c>
      <c r="L4" s="13">
        <v>27</v>
      </c>
      <c r="M4">
        <v>278.57400000000001</v>
      </c>
      <c r="N4" s="13">
        <v>-8.57</v>
      </c>
    </row>
    <row r="5" spans="1:14" x14ac:dyDescent="0.3">
      <c r="A5" s="5" t="s">
        <v>13</v>
      </c>
      <c r="B5" s="5" t="s">
        <v>14</v>
      </c>
      <c r="C5">
        <v>8115</v>
      </c>
      <c r="D5" s="8" t="s">
        <v>15</v>
      </c>
      <c r="E5" s="13">
        <v>0.93200000000000005</v>
      </c>
      <c r="F5">
        <v>2024</v>
      </c>
      <c r="G5">
        <v>38</v>
      </c>
      <c r="H5" s="13">
        <v>72</v>
      </c>
      <c r="I5">
        <v>9</v>
      </c>
      <c r="J5" s="13">
        <v>0</v>
      </c>
      <c r="K5">
        <v>4</v>
      </c>
      <c r="L5" s="13">
        <v>28</v>
      </c>
      <c r="M5">
        <v>291.43</v>
      </c>
      <c r="N5" s="13">
        <v>-18.27</v>
      </c>
    </row>
    <row r="6" spans="1:14" x14ac:dyDescent="0.3">
      <c r="A6" s="5" t="s">
        <v>16</v>
      </c>
      <c r="B6" s="5" t="s">
        <v>17</v>
      </c>
      <c r="C6">
        <v>11891</v>
      </c>
      <c r="D6" s="8" t="s">
        <v>18</v>
      </c>
      <c r="E6" s="13">
        <v>0.95799999999999996</v>
      </c>
      <c r="F6">
        <v>2024</v>
      </c>
      <c r="G6">
        <v>24</v>
      </c>
      <c r="H6" s="13">
        <v>35</v>
      </c>
      <c r="I6">
        <v>9</v>
      </c>
      <c r="J6" s="13">
        <v>0</v>
      </c>
      <c r="K6">
        <v>4</v>
      </c>
      <c r="L6" s="13">
        <v>12</v>
      </c>
      <c r="M6">
        <v>181.87799999999999</v>
      </c>
      <c r="N6" s="13">
        <v>-10.02</v>
      </c>
    </row>
    <row r="7" spans="1:14" x14ac:dyDescent="0.3">
      <c r="A7" s="5" t="s">
        <v>19</v>
      </c>
      <c r="B7" s="5" t="s">
        <v>20</v>
      </c>
      <c r="C7" s="1">
        <v>12547</v>
      </c>
      <c r="D7" s="10" t="s">
        <v>21</v>
      </c>
      <c r="E7" s="14" t="s">
        <v>59</v>
      </c>
      <c r="H7" s="13"/>
      <c r="J7" s="13"/>
      <c r="L7" s="13"/>
      <c r="N7" s="13"/>
    </row>
    <row r="8" spans="1:14" x14ac:dyDescent="0.3">
      <c r="A8" s="5" t="s">
        <v>22</v>
      </c>
      <c r="B8" s="5" t="s">
        <v>23</v>
      </c>
      <c r="C8">
        <v>18310</v>
      </c>
      <c r="D8" s="8" t="s">
        <v>24</v>
      </c>
      <c r="E8" s="13">
        <v>0.89700000000000002</v>
      </c>
      <c r="F8">
        <v>2024</v>
      </c>
      <c r="G8">
        <v>74</v>
      </c>
      <c r="H8" s="13">
        <v>71</v>
      </c>
      <c r="I8">
        <v>34</v>
      </c>
      <c r="J8" s="13">
        <v>4</v>
      </c>
      <c r="K8">
        <v>20</v>
      </c>
      <c r="L8" s="13">
        <v>81</v>
      </c>
      <c r="M8">
        <v>444.66800000000001</v>
      </c>
      <c r="N8" s="13">
        <v>10.41</v>
      </c>
    </row>
    <row r="9" spans="1:14" x14ac:dyDescent="0.3">
      <c r="A9" s="5" t="s">
        <v>25</v>
      </c>
      <c r="B9" s="5" t="s">
        <v>26</v>
      </c>
      <c r="C9" s="2"/>
      <c r="D9" s="11"/>
      <c r="E9" s="15"/>
      <c r="H9" s="13"/>
      <c r="J9" s="13"/>
      <c r="L9" s="13"/>
      <c r="N9" s="13"/>
    </row>
    <row r="10" spans="1:14" x14ac:dyDescent="0.3">
      <c r="A10" s="6" t="s">
        <v>27</v>
      </c>
      <c r="B10" s="6" t="s">
        <v>28</v>
      </c>
      <c r="C10">
        <v>456</v>
      </c>
      <c r="D10" s="8" t="s">
        <v>29</v>
      </c>
      <c r="E10" s="13">
        <v>0.94799999999999995</v>
      </c>
      <c r="F10">
        <v>2024</v>
      </c>
      <c r="G10">
        <v>31</v>
      </c>
      <c r="H10" s="13">
        <v>67</v>
      </c>
      <c r="I10">
        <v>14</v>
      </c>
      <c r="J10" s="13">
        <v>1</v>
      </c>
      <c r="K10">
        <v>4</v>
      </c>
      <c r="L10" s="13">
        <v>16</v>
      </c>
      <c r="M10">
        <v>223.56399999999999</v>
      </c>
      <c r="N10" s="13">
        <v>-6.14</v>
      </c>
    </row>
    <row r="11" spans="1:14" x14ac:dyDescent="0.3">
      <c r="A11" s="6" t="s">
        <v>30</v>
      </c>
      <c r="B11" s="6" t="s">
        <v>31</v>
      </c>
      <c r="C11">
        <v>1343</v>
      </c>
      <c r="D11" s="8" t="s">
        <v>32</v>
      </c>
      <c r="E11" s="13">
        <v>0.93400000000000005</v>
      </c>
      <c r="F11">
        <v>2024</v>
      </c>
      <c r="G11">
        <v>41</v>
      </c>
      <c r="H11" s="13">
        <v>29</v>
      </c>
      <c r="I11">
        <v>19</v>
      </c>
      <c r="J11" s="13">
        <v>2</v>
      </c>
      <c r="K11">
        <v>14</v>
      </c>
      <c r="L11" s="13">
        <v>42</v>
      </c>
      <c r="M11">
        <v>285.82600000000002</v>
      </c>
      <c r="N11" s="13">
        <v>0.48</v>
      </c>
    </row>
    <row r="12" spans="1:14" x14ac:dyDescent="0.3">
      <c r="A12" s="6" t="s">
        <v>33</v>
      </c>
      <c r="B12" s="6" t="s">
        <v>34</v>
      </c>
      <c r="C12">
        <v>5248</v>
      </c>
      <c r="D12" s="8" t="s">
        <v>35</v>
      </c>
      <c r="E12" s="13">
        <v>0.995</v>
      </c>
      <c r="F12">
        <v>2024</v>
      </c>
      <c r="G12">
        <v>8</v>
      </c>
      <c r="H12" s="13">
        <v>2</v>
      </c>
      <c r="I12">
        <v>1</v>
      </c>
      <c r="J12" s="13">
        <v>0</v>
      </c>
      <c r="K12">
        <v>1</v>
      </c>
      <c r="L12" s="13">
        <v>3</v>
      </c>
      <c r="M12">
        <v>22.532</v>
      </c>
      <c r="N12" s="13">
        <v>-0.71</v>
      </c>
    </row>
    <row r="13" spans="1:14" x14ac:dyDescent="0.3">
      <c r="A13" s="6" t="s">
        <v>36</v>
      </c>
      <c r="B13" s="6" t="s">
        <v>37</v>
      </c>
      <c r="C13">
        <v>6382</v>
      </c>
      <c r="D13" s="8" t="s">
        <v>38</v>
      </c>
      <c r="E13" s="13">
        <v>0.94599999999999995</v>
      </c>
      <c r="F13">
        <v>2024</v>
      </c>
      <c r="G13">
        <v>35</v>
      </c>
      <c r="H13" s="13">
        <v>48</v>
      </c>
      <c r="I13">
        <v>5</v>
      </c>
      <c r="J13" s="13">
        <v>1</v>
      </c>
      <c r="K13">
        <v>13</v>
      </c>
      <c r="L13" s="13">
        <v>38</v>
      </c>
      <c r="M13">
        <v>232.654</v>
      </c>
      <c r="N13" s="21">
        <v>-0.4</v>
      </c>
    </row>
    <row r="14" spans="1:14" x14ac:dyDescent="0.3">
      <c r="A14" s="6" t="s">
        <v>39</v>
      </c>
      <c r="B14" s="6" t="s">
        <v>40</v>
      </c>
      <c r="C14" s="1">
        <v>8123</v>
      </c>
      <c r="D14" s="10" t="s">
        <v>41</v>
      </c>
      <c r="E14" s="16">
        <v>0.97899999999999998</v>
      </c>
      <c r="F14">
        <v>2024</v>
      </c>
      <c r="G14">
        <f>18+8</f>
        <v>26</v>
      </c>
      <c r="H14" s="13">
        <f>24+13</f>
        <v>37</v>
      </c>
      <c r="I14">
        <v>18</v>
      </c>
      <c r="J14" s="13">
        <v>0</v>
      </c>
      <c r="K14">
        <v>5</v>
      </c>
      <c r="L14" s="13">
        <v>18</v>
      </c>
      <c r="M14">
        <f>119.174+58.596</f>
        <v>177.77</v>
      </c>
      <c r="N14" s="13"/>
    </row>
    <row r="15" spans="1:14" x14ac:dyDescent="0.3">
      <c r="A15" s="6" t="s">
        <v>42</v>
      </c>
      <c r="B15" s="6" t="s">
        <v>43</v>
      </c>
      <c r="C15">
        <v>8592</v>
      </c>
      <c r="D15" s="8" t="s">
        <v>44</v>
      </c>
      <c r="E15" s="13">
        <v>0.99199999999999999</v>
      </c>
      <c r="F15">
        <v>2024</v>
      </c>
      <c r="G15">
        <v>9</v>
      </c>
      <c r="H15" s="13">
        <v>2</v>
      </c>
      <c r="I15">
        <v>4</v>
      </c>
      <c r="J15" s="13">
        <v>1</v>
      </c>
      <c r="K15">
        <v>5</v>
      </c>
      <c r="L15" s="13">
        <v>5</v>
      </c>
      <c r="M15">
        <v>33.171999999999997</v>
      </c>
      <c r="N15" s="13">
        <v>6.23</v>
      </c>
    </row>
    <row r="16" spans="1:14" x14ac:dyDescent="0.3">
      <c r="A16" s="6" t="s">
        <v>45</v>
      </c>
      <c r="B16" s="6" t="s">
        <v>46</v>
      </c>
      <c r="C16">
        <v>11455</v>
      </c>
      <c r="D16" s="8" t="s">
        <v>47</v>
      </c>
      <c r="E16" s="13">
        <v>0.92300000000000004</v>
      </c>
      <c r="F16">
        <v>2024</v>
      </c>
      <c r="G16">
        <v>59</v>
      </c>
      <c r="H16" s="13">
        <v>74</v>
      </c>
      <c r="I16">
        <v>24</v>
      </c>
      <c r="J16" s="13">
        <v>2</v>
      </c>
      <c r="K16">
        <v>10</v>
      </c>
      <c r="L16" s="13">
        <v>46</v>
      </c>
      <c r="M16">
        <v>333.09800000000001</v>
      </c>
      <c r="N16" s="13">
        <v>-0.49</v>
      </c>
    </row>
    <row r="17" spans="1:14" x14ac:dyDescent="0.3">
      <c r="A17" s="6" t="s">
        <v>48</v>
      </c>
      <c r="B17" s="6" t="s">
        <v>49</v>
      </c>
      <c r="C17">
        <v>19776</v>
      </c>
      <c r="D17" s="8" t="s">
        <v>50</v>
      </c>
      <c r="E17" s="13">
        <v>0.99099999999999999</v>
      </c>
      <c r="F17">
        <v>2024</v>
      </c>
      <c r="G17">
        <v>5</v>
      </c>
      <c r="H17" s="13">
        <v>7</v>
      </c>
      <c r="I17">
        <v>0</v>
      </c>
      <c r="J17" s="13">
        <v>0</v>
      </c>
      <c r="K17">
        <v>1</v>
      </c>
      <c r="L17" s="13">
        <v>2</v>
      </c>
      <c r="M17">
        <v>40.19</v>
      </c>
      <c r="N17" s="13">
        <v>-3.74</v>
      </c>
    </row>
    <row r="18" spans="1:14" x14ac:dyDescent="0.3">
      <c r="A18" s="7" t="s">
        <v>30</v>
      </c>
      <c r="B18" s="7" t="s">
        <v>51</v>
      </c>
      <c r="C18" s="2"/>
      <c r="D18" s="11"/>
      <c r="E18" s="15"/>
      <c r="H18" s="13"/>
      <c r="J18" s="13"/>
      <c r="L18" s="13"/>
      <c r="N18" s="13"/>
    </row>
    <row r="19" spans="1:14" x14ac:dyDescent="0.3">
      <c r="A19" s="7" t="s">
        <v>52</v>
      </c>
      <c r="B19" s="7" t="s">
        <v>53</v>
      </c>
      <c r="C19">
        <v>18369</v>
      </c>
      <c r="D19" s="8" t="s">
        <v>54</v>
      </c>
      <c r="E19" s="13">
        <v>0.92100000000000004</v>
      </c>
      <c r="F19">
        <v>2024</v>
      </c>
      <c r="G19">
        <v>69</v>
      </c>
      <c r="H19" s="13">
        <v>72</v>
      </c>
      <c r="I19">
        <v>26</v>
      </c>
      <c r="J19" s="13">
        <v>1</v>
      </c>
      <c r="K19">
        <v>19</v>
      </c>
      <c r="L19" s="13">
        <v>58</v>
      </c>
      <c r="M19">
        <v>341.774</v>
      </c>
      <c r="N19" s="13">
        <v>12.73</v>
      </c>
    </row>
    <row r="20" spans="1:14" x14ac:dyDescent="0.3">
      <c r="A20" s="7" t="s">
        <v>55</v>
      </c>
      <c r="B20" s="7" t="s">
        <v>56</v>
      </c>
      <c r="C20">
        <v>19368</v>
      </c>
      <c r="D20" s="8" t="s">
        <v>57</v>
      </c>
      <c r="E20" s="13">
        <v>0.95899999999999996</v>
      </c>
      <c r="F20">
        <v>2024</v>
      </c>
      <c r="G20">
        <v>26</v>
      </c>
      <c r="H20" s="13">
        <v>32</v>
      </c>
      <c r="I20">
        <v>5</v>
      </c>
      <c r="J20" s="13">
        <v>0</v>
      </c>
      <c r="K20">
        <v>8</v>
      </c>
      <c r="L20" s="13">
        <v>22</v>
      </c>
      <c r="M20">
        <v>175.238</v>
      </c>
      <c r="N20" s="13">
        <v>-4.71</v>
      </c>
    </row>
    <row r="21" spans="1:14" x14ac:dyDescent="0.3">
      <c r="A21" s="7" t="s">
        <v>69</v>
      </c>
      <c r="B21" s="7" t="s">
        <v>70</v>
      </c>
      <c r="C21">
        <v>11656</v>
      </c>
      <c r="D21" s="8" t="s">
        <v>107</v>
      </c>
      <c r="E21" s="13">
        <v>0.97299999999999998</v>
      </c>
      <c r="F21">
        <v>2024</v>
      </c>
      <c r="G21">
        <v>8</v>
      </c>
      <c r="H21" s="13">
        <v>18</v>
      </c>
      <c r="I21">
        <v>4</v>
      </c>
      <c r="J21" s="13">
        <v>0</v>
      </c>
      <c r="K21">
        <v>2</v>
      </c>
      <c r="L21" s="13">
        <v>17</v>
      </c>
      <c r="M21">
        <v>114.57</v>
      </c>
      <c r="N21" s="13">
        <v>-6.68</v>
      </c>
    </row>
    <row r="22" spans="1:14" x14ac:dyDescent="0.3">
      <c r="A22" s="7" t="s">
        <v>39</v>
      </c>
      <c r="B22" s="7" t="s">
        <v>71</v>
      </c>
      <c r="C22">
        <v>21033</v>
      </c>
      <c r="D22" s="8" t="s">
        <v>108</v>
      </c>
      <c r="E22" s="13">
        <v>0.997</v>
      </c>
      <c r="F22">
        <v>2024</v>
      </c>
      <c r="G22">
        <v>3</v>
      </c>
      <c r="H22" s="13">
        <v>3</v>
      </c>
      <c r="I22">
        <v>4</v>
      </c>
      <c r="J22" s="13">
        <v>0</v>
      </c>
      <c r="K22">
        <v>0</v>
      </c>
      <c r="L22" s="13">
        <v>1</v>
      </c>
      <c r="M22">
        <v>11.657999999999999</v>
      </c>
      <c r="N22" s="13">
        <v>10.49</v>
      </c>
    </row>
    <row r="23" spans="1:14" x14ac:dyDescent="0.3">
      <c r="A23" s="7" t="s">
        <v>72</v>
      </c>
      <c r="B23" s="7" t="s">
        <v>73</v>
      </c>
      <c r="C23">
        <v>21048</v>
      </c>
      <c r="D23" s="8" t="s">
        <v>109</v>
      </c>
      <c r="E23" s="13">
        <v>0.99980000000000002</v>
      </c>
      <c r="F23">
        <v>2024</v>
      </c>
      <c r="G23">
        <v>0</v>
      </c>
      <c r="H23" s="13">
        <v>0</v>
      </c>
      <c r="I23">
        <v>0</v>
      </c>
      <c r="J23" s="13">
        <v>0</v>
      </c>
      <c r="K23">
        <v>0</v>
      </c>
      <c r="L23" s="13">
        <v>0</v>
      </c>
      <c r="M23">
        <v>0.98199999999999998</v>
      </c>
      <c r="N23" s="13">
        <v>-0.16</v>
      </c>
    </row>
    <row r="24" spans="1:14" x14ac:dyDescent="0.3">
      <c r="A24" s="5" t="s">
        <v>74</v>
      </c>
      <c r="B24" s="5" t="s">
        <v>75</v>
      </c>
      <c r="C24">
        <v>2843</v>
      </c>
      <c r="D24" s="8" t="s">
        <v>110</v>
      </c>
      <c r="E24" s="13">
        <v>0.92200000000000004</v>
      </c>
      <c r="F24">
        <v>2024</v>
      </c>
      <c r="G24">
        <v>47</v>
      </c>
      <c r="H24" s="13">
        <v>51</v>
      </c>
      <c r="I24">
        <v>23</v>
      </c>
      <c r="J24" s="13">
        <v>2</v>
      </c>
      <c r="K24">
        <v>20</v>
      </c>
      <c r="L24" s="13">
        <v>34</v>
      </c>
      <c r="M24">
        <v>336.31400000000002</v>
      </c>
      <c r="N24" s="13">
        <v>4.6100000000000003</v>
      </c>
    </row>
    <row r="25" spans="1:14" x14ac:dyDescent="0.3">
      <c r="A25" s="5" t="s">
        <v>76</v>
      </c>
      <c r="B25" s="5" t="s">
        <v>77</v>
      </c>
      <c r="C25">
        <v>6181</v>
      </c>
      <c r="D25" s="8" t="s">
        <v>111</v>
      </c>
      <c r="E25" s="13">
        <v>0.98799999999999999</v>
      </c>
      <c r="F25">
        <v>2024</v>
      </c>
      <c r="G25">
        <v>2</v>
      </c>
      <c r="H25" s="13">
        <v>7</v>
      </c>
      <c r="I25">
        <v>0</v>
      </c>
      <c r="J25" s="13">
        <v>1</v>
      </c>
      <c r="K25">
        <v>1</v>
      </c>
      <c r="L25" s="13">
        <v>2</v>
      </c>
      <c r="M25">
        <v>50.92</v>
      </c>
      <c r="N25" s="13">
        <v>-4.6100000000000003</v>
      </c>
    </row>
    <row r="26" spans="1:14" x14ac:dyDescent="0.3">
      <c r="A26" s="5" t="s">
        <v>78</v>
      </c>
      <c r="B26" s="5" t="s">
        <v>79</v>
      </c>
      <c r="C26" s="1">
        <v>6273</v>
      </c>
      <c r="D26" s="10" t="s">
        <v>115</v>
      </c>
      <c r="E26" s="17">
        <f>(0.9675812+0.9441975)/2</f>
        <v>0.95588935000000008</v>
      </c>
      <c r="F26">
        <v>2024</v>
      </c>
      <c r="G26">
        <f>18+28</f>
        <v>46</v>
      </c>
      <c r="H26" s="13">
        <f>30+45</f>
        <v>75</v>
      </c>
      <c r="I26">
        <f>10+14</f>
        <v>24</v>
      </c>
      <c r="J26" s="13">
        <v>0</v>
      </c>
      <c r="K26">
        <f>5+8</f>
        <v>13</v>
      </c>
      <c r="L26" s="13">
        <f>12+39</f>
        <v>51</v>
      </c>
      <c r="M26">
        <f>139.778+240.6</f>
        <v>380.37799999999999</v>
      </c>
      <c r="N26" s="13">
        <v>-20.69</v>
      </c>
    </row>
    <row r="27" spans="1:14" x14ac:dyDescent="0.3">
      <c r="A27" s="5" t="s">
        <v>80</v>
      </c>
      <c r="B27" s="5" t="s">
        <v>81</v>
      </c>
      <c r="C27">
        <v>9154</v>
      </c>
      <c r="D27" s="8" t="s">
        <v>112</v>
      </c>
      <c r="E27" s="13">
        <v>0.90300000000000002</v>
      </c>
      <c r="F27">
        <v>2024</v>
      </c>
      <c r="G27">
        <v>84</v>
      </c>
      <c r="H27" s="13">
        <v>87</v>
      </c>
      <c r="I27">
        <v>28</v>
      </c>
      <c r="J27" s="13">
        <v>2</v>
      </c>
      <c r="K27">
        <v>15</v>
      </c>
      <c r="L27" s="13">
        <v>95</v>
      </c>
      <c r="M27">
        <v>418.40600000000001</v>
      </c>
      <c r="N27" s="13">
        <v>8.17</v>
      </c>
    </row>
    <row r="28" spans="1:14" x14ac:dyDescent="0.3">
      <c r="A28" s="5" t="s">
        <v>82</v>
      </c>
      <c r="B28" s="5" t="s">
        <v>83</v>
      </c>
      <c r="C28">
        <v>16086</v>
      </c>
      <c r="D28" s="8" t="s">
        <v>113</v>
      </c>
      <c r="E28" s="13">
        <v>0.998</v>
      </c>
      <c r="F28">
        <v>2024</v>
      </c>
      <c r="G28">
        <v>1</v>
      </c>
      <c r="H28" s="13">
        <v>1</v>
      </c>
      <c r="I28">
        <v>0</v>
      </c>
      <c r="J28" s="13">
        <v>0</v>
      </c>
      <c r="K28">
        <v>0</v>
      </c>
      <c r="L28" s="13">
        <v>1</v>
      </c>
      <c r="M28">
        <v>7.8380000000000001</v>
      </c>
      <c r="N28" s="21">
        <v>-0.9</v>
      </c>
    </row>
    <row r="29" spans="1:14" x14ac:dyDescent="0.3">
      <c r="A29" s="5" t="s">
        <v>84</v>
      </c>
      <c r="B29" s="5" t="s">
        <v>85</v>
      </c>
      <c r="C29" s="1">
        <v>17828</v>
      </c>
      <c r="D29" s="10" t="s">
        <v>116</v>
      </c>
      <c r="E29" s="17">
        <f>(0.9551172+0.995238)/2</f>
        <v>0.97517759999999998</v>
      </c>
      <c r="F29">
        <v>2024</v>
      </c>
      <c r="G29">
        <f>29+4</f>
        <v>33</v>
      </c>
      <c r="H29" s="13">
        <f>33+3</f>
        <v>36</v>
      </c>
      <c r="I29">
        <f>20+2</f>
        <v>22</v>
      </c>
      <c r="J29" s="13">
        <v>0</v>
      </c>
      <c r="K29">
        <v>6</v>
      </c>
      <c r="L29" s="13">
        <f>29+3</f>
        <v>32</v>
      </c>
      <c r="M29">
        <f>193.518+20.532</f>
        <v>214.05</v>
      </c>
      <c r="N29" s="13">
        <v>-3.01</v>
      </c>
    </row>
    <row r="30" spans="1:14" x14ac:dyDescent="0.3">
      <c r="A30" s="5" t="s">
        <v>86</v>
      </c>
      <c r="B30" s="5" t="s">
        <v>87</v>
      </c>
      <c r="C30" s="1">
        <v>18085</v>
      </c>
      <c r="D30" s="10" t="s">
        <v>114</v>
      </c>
      <c r="E30" s="17">
        <f>(0.9984182+0.9993167)/2</f>
        <v>0.99886744999999999</v>
      </c>
      <c r="F30">
        <v>2024</v>
      </c>
      <c r="G30">
        <v>1</v>
      </c>
      <c r="H30" s="13">
        <v>2</v>
      </c>
      <c r="I30">
        <v>1</v>
      </c>
      <c r="J30" s="13">
        <v>0</v>
      </c>
      <c r="K30">
        <v>0</v>
      </c>
      <c r="L30" s="13">
        <v>3</v>
      </c>
      <c r="M30">
        <f>6.82+2.946</f>
        <v>9.766</v>
      </c>
      <c r="N30" s="13">
        <v>11.67</v>
      </c>
    </row>
    <row r="31" spans="1:14" x14ac:dyDescent="0.3">
      <c r="A31" s="6" t="s">
        <v>88</v>
      </c>
      <c r="B31" s="6" t="s">
        <v>89</v>
      </c>
      <c r="C31">
        <v>2872</v>
      </c>
      <c r="D31" s="8" t="s">
        <v>117</v>
      </c>
      <c r="E31" s="13">
        <v>0.999</v>
      </c>
      <c r="F31">
        <v>2024</v>
      </c>
      <c r="G31">
        <v>1</v>
      </c>
      <c r="H31" s="13">
        <v>2</v>
      </c>
      <c r="I31">
        <v>0</v>
      </c>
      <c r="J31" s="13">
        <v>0</v>
      </c>
      <c r="K31">
        <v>0</v>
      </c>
      <c r="L31" s="13">
        <v>0</v>
      </c>
      <c r="M31">
        <v>5.8559999999999999</v>
      </c>
      <c r="N31" s="13">
        <v>-0.63</v>
      </c>
    </row>
    <row r="32" spans="1:14" x14ac:dyDescent="0.3">
      <c r="A32" s="6" t="s">
        <v>90</v>
      </c>
      <c r="B32" s="6" t="s">
        <v>91</v>
      </c>
      <c r="C32">
        <v>5737</v>
      </c>
      <c r="D32" s="8" t="s">
        <v>118</v>
      </c>
      <c r="E32" s="13">
        <v>0.96199999999999997</v>
      </c>
      <c r="F32">
        <v>2024</v>
      </c>
      <c r="G32">
        <v>33</v>
      </c>
      <c r="H32" s="13">
        <v>29</v>
      </c>
      <c r="I32">
        <v>8</v>
      </c>
      <c r="J32" s="13">
        <v>0</v>
      </c>
      <c r="K32">
        <v>8</v>
      </c>
      <c r="L32" s="13">
        <v>21</v>
      </c>
      <c r="M32">
        <v>165.238</v>
      </c>
      <c r="N32" s="13">
        <v>-1.68</v>
      </c>
    </row>
    <row r="33" spans="1:14" x14ac:dyDescent="0.3">
      <c r="A33" s="6" t="s">
        <v>92</v>
      </c>
      <c r="B33" s="6" t="s">
        <v>93</v>
      </c>
      <c r="C33">
        <v>6270</v>
      </c>
      <c r="D33" s="8" t="s">
        <v>119</v>
      </c>
      <c r="E33" s="18">
        <v>0.94</v>
      </c>
      <c r="F33">
        <v>2024</v>
      </c>
      <c r="G33">
        <v>44</v>
      </c>
      <c r="H33" s="13">
        <v>71</v>
      </c>
      <c r="I33">
        <v>19</v>
      </c>
      <c r="J33" s="13">
        <v>2</v>
      </c>
      <c r="K33">
        <v>2</v>
      </c>
      <c r="L33" s="13">
        <v>29</v>
      </c>
      <c r="M33">
        <v>260.7</v>
      </c>
      <c r="N33" s="21">
        <v>-2.9</v>
      </c>
    </row>
    <row r="34" spans="1:14" x14ac:dyDescent="0.3">
      <c r="A34" s="6" t="s">
        <v>94</v>
      </c>
      <c r="B34" s="6" t="s">
        <v>95</v>
      </c>
      <c r="C34">
        <v>9107</v>
      </c>
      <c r="D34" s="8" t="s">
        <v>120</v>
      </c>
      <c r="E34" s="13">
        <v>0.98899999999999999</v>
      </c>
      <c r="F34">
        <v>2024</v>
      </c>
      <c r="G34">
        <v>7</v>
      </c>
      <c r="H34" s="13">
        <v>8</v>
      </c>
      <c r="I34">
        <v>1</v>
      </c>
      <c r="J34" s="13">
        <v>1</v>
      </c>
      <c r="K34">
        <v>0</v>
      </c>
      <c r="L34" s="13">
        <v>9</v>
      </c>
      <c r="M34">
        <v>48.027999999999999</v>
      </c>
      <c r="N34" s="13">
        <v>-2.94</v>
      </c>
    </row>
    <row r="35" spans="1:14" x14ac:dyDescent="0.3">
      <c r="A35" s="6" t="s">
        <v>96</v>
      </c>
      <c r="B35" s="6" t="s">
        <v>97</v>
      </c>
      <c r="C35">
        <v>9676</v>
      </c>
      <c r="D35" s="8" t="s">
        <v>121</v>
      </c>
      <c r="E35" s="13">
        <v>0.998</v>
      </c>
      <c r="F35">
        <v>2024</v>
      </c>
      <c r="G35">
        <v>1</v>
      </c>
      <c r="H35" s="13">
        <v>0</v>
      </c>
      <c r="I35">
        <v>1</v>
      </c>
      <c r="J35" s="13">
        <v>0</v>
      </c>
      <c r="K35">
        <v>0</v>
      </c>
      <c r="L35" s="13">
        <v>0</v>
      </c>
      <c r="M35">
        <v>9.82</v>
      </c>
      <c r="N35" s="13">
        <v>-0.93</v>
      </c>
    </row>
    <row r="36" spans="1:14" x14ac:dyDescent="0.3">
      <c r="A36" s="6" t="s">
        <v>98</v>
      </c>
      <c r="B36" s="6" t="s">
        <v>99</v>
      </c>
      <c r="C36">
        <v>11992</v>
      </c>
      <c r="D36" s="8" t="s">
        <v>122</v>
      </c>
      <c r="E36" s="13">
        <v>0.97199999999999998</v>
      </c>
      <c r="F36">
        <v>2024</v>
      </c>
      <c r="G36">
        <v>23</v>
      </c>
      <c r="H36" s="13">
        <v>20</v>
      </c>
      <c r="I36">
        <v>4</v>
      </c>
      <c r="J36" s="13">
        <v>2</v>
      </c>
      <c r="K36">
        <v>5</v>
      </c>
      <c r="L36" s="13">
        <v>13</v>
      </c>
      <c r="M36">
        <v>119.372</v>
      </c>
      <c r="N36" s="21">
        <v>-2.2999999999999998</v>
      </c>
    </row>
    <row r="37" spans="1:14" x14ac:dyDescent="0.3">
      <c r="A37" s="6" t="s">
        <v>100</v>
      </c>
      <c r="B37" s="6" t="s">
        <v>101</v>
      </c>
      <c r="C37" s="1">
        <v>16480</v>
      </c>
      <c r="D37" s="10" t="s">
        <v>123</v>
      </c>
      <c r="E37" s="17">
        <f>(0.9888734+0.9979585+0.9554118)/3</f>
        <v>0.98074789999999989</v>
      </c>
      <c r="F37">
        <v>2024</v>
      </c>
      <c r="G37">
        <f>6+1+22</f>
        <v>29</v>
      </c>
      <c r="H37" s="13">
        <f>8+2+59</f>
        <v>69</v>
      </c>
      <c r="I37">
        <f>0+1+17</f>
        <v>18</v>
      </c>
      <c r="J37" s="13">
        <v>3</v>
      </c>
      <c r="K37">
        <v>3</v>
      </c>
      <c r="L37" s="13">
        <v>13</v>
      </c>
      <c r="M37">
        <f>47.974+8.802+192.248</f>
        <v>249.024</v>
      </c>
      <c r="N37" s="13"/>
    </row>
    <row r="38" spans="1:14" x14ac:dyDescent="0.3">
      <c r="A38" s="6" t="s">
        <v>39</v>
      </c>
      <c r="B38" s="6" t="s">
        <v>102</v>
      </c>
      <c r="C38" s="1">
        <v>17738</v>
      </c>
      <c r="D38" s="10" t="s">
        <v>124</v>
      </c>
      <c r="E38" s="17">
        <f>(0.9875319+0.9961323+0.9820532)/3</f>
        <v>0.98857246666666665</v>
      </c>
      <c r="F38">
        <v>2024</v>
      </c>
      <c r="G38">
        <f>10+2+12</f>
        <v>24</v>
      </c>
      <c r="H38" s="13">
        <f>13+2+16</f>
        <v>31</v>
      </c>
      <c r="I38">
        <v>4</v>
      </c>
      <c r="J38" s="13">
        <v>0</v>
      </c>
      <c r="K38">
        <v>2</v>
      </c>
      <c r="L38" s="13">
        <f>10+2+19</f>
        <v>31</v>
      </c>
      <c r="M38">
        <f>53.758+16.676+77.38</f>
        <v>147.81399999999999</v>
      </c>
      <c r="N38" s="13"/>
    </row>
    <row r="39" spans="1:14" x14ac:dyDescent="0.3">
      <c r="A39" s="6" t="s">
        <v>103</v>
      </c>
      <c r="B39" s="6" t="s">
        <v>104</v>
      </c>
      <c r="C39">
        <v>19090</v>
      </c>
      <c r="D39" s="8" t="s">
        <v>125</v>
      </c>
      <c r="E39" s="13">
        <v>0.996</v>
      </c>
      <c r="F39">
        <v>2024</v>
      </c>
      <c r="G39">
        <v>5</v>
      </c>
      <c r="H39" s="13">
        <v>1</v>
      </c>
      <c r="I39">
        <v>1</v>
      </c>
      <c r="J39" s="13">
        <v>0</v>
      </c>
      <c r="K39">
        <v>0</v>
      </c>
      <c r="L39" s="13">
        <v>0</v>
      </c>
      <c r="M39">
        <v>16.675999999999998</v>
      </c>
      <c r="N39" s="13">
        <v>-1.91</v>
      </c>
    </row>
    <row r="40" spans="1:14" x14ac:dyDescent="0.3">
      <c r="A40" s="9" t="s">
        <v>105</v>
      </c>
      <c r="B40" s="9" t="s">
        <v>106</v>
      </c>
      <c r="C40" s="3">
        <v>20501</v>
      </c>
      <c r="D40" s="12" t="s">
        <v>126</v>
      </c>
      <c r="E40" s="19">
        <f>(1+0.9947741)/2</f>
        <v>0.99738704999999994</v>
      </c>
      <c r="F40" s="4">
        <v>2024</v>
      </c>
      <c r="G40" s="4">
        <v>2</v>
      </c>
      <c r="H40" s="20">
        <v>4</v>
      </c>
      <c r="I40" s="4">
        <v>0</v>
      </c>
      <c r="J40" s="20">
        <v>0</v>
      </c>
      <c r="K40" s="4">
        <v>0</v>
      </c>
      <c r="L40" s="20">
        <v>2</v>
      </c>
      <c r="M40" s="4">
        <v>22.532</v>
      </c>
      <c r="N40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Merillat, Karissa N</dc:creator>
  <cp:lastModifiedBy>Merillat, Karissa N</cp:lastModifiedBy>
  <dcterms:created xsi:type="dcterms:W3CDTF">2025-10-17T17:29:35Z</dcterms:created>
  <dcterms:modified xsi:type="dcterms:W3CDTF">2025-11-05T15:38:42Z</dcterms:modified>
</cp:coreProperties>
</file>